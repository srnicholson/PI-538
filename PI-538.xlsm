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cott\Google Drive\Documents\"/>
    </mc:Choice>
  </mc:AlternateContent>
  <bookViews>
    <workbookView xWindow="0" yWindow="0" windowWidth="15345" windowHeight="4455"/>
  </bookViews>
  <sheets>
    <sheet name="Sheet1" sheetId="1" r:id="rId1"/>
  </sheets>
  <functionGroups builtInGroupCount="18"/>
  <definedNames>
    <definedName name="_xlnm._FilterDatabase" localSheetId="0" hidden="1">Sheet1!$A$1:$L$69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3" i="1"/>
</calcChain>
</file>

<file path=xl/comments1.xml><?xml version="1.0" encoding="utf-8"?>
<comments xmlns="http://schemas.openxmlformats.org/spreadsheetml/2006/main">
  <authors>
    <author>Scott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Scott:</t>
        </r>
        <r>
          <rPr>
            <sz val="9"/>
            <color indexed="81"/>
            <rFont val="Tahoma"/>
            <family val="2"/>
          </rPr>
          <t xml:space="preserve">
ABS(Polls Plus Percent - Best Predictit Price) * $100</t>
        </r>
      </text>
    </comment>
  </commentList>
</comments>
</file>

<file path=xl/sharedStrings.xml><?xml version="1.0" encoding="utf-8"?>
<sst xmlns="http://schemas.openxmlformats.org/spreadsheetml/2006/main" count="65" uniqueCount="65">
  <si>
    <t>MI</t>
  </si>
  <si>
    <t>NJ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</si>
  <si>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</si>
  <si>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</si>
  <si>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</si>
  <si>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</si>
  <si>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</si>
  <si>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</si>
  <si>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</si>
  <si>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</si>
  <si>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</si>
  <si>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</si>
  <si>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</si>
  <si>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</si>
  <si>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</si>
  <si>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</si>
  <si>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</si>
  <si>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</si>
  <si>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</si>
  <si>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</si>
  <si>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</si>
  <si>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</si>
  <si>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</si>
  <si>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MN</t>
  </si>
  <si>
    <t>MS</t>
  </si>
  <si>
    <t>MO</t>
  </si>
  <si>
    <t>MT</t>
  </si>
  <si>
    <t>NE</t>
  </si>
  <si>
    <t>NV</t>
  </si>
  <si>
    <t>NH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</si>
  <si>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</si>
  <si>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</si>
  <si>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</si>
  <si>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</si>
  <si>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</si>
  <si>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</si>
  <si>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</si>
  <si>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</si>
  <si>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</si>
  <si>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</si>
  <si>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</si>
  <si>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</si>
  <si>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</si>
  <si>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</si>
  <si>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</si>
  <si>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</si>
  <si>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</si>
  <si>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</si>
  <si>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</si>
  <si>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</si>
  <si>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State</t>
  </si>
  <si>
    <t>DEM YES</t>
  </si>
  <si>
    <t>DEM NO</t>
  </si>
  <si>
    <t>GOP YES</t>
  </si>
  <si>
    <t>GOP NO</t>
  </si>
  <si>
    <t>DEM Polls Plus</t>
  </si>
  <si>
    <t>DEM Polls Only</t>
  </si>
  <si>
    <t>GOP Polls Plus</t>
  </si>
  <si>
    <t>GOP Polls Only</t>
  </si>
  <si>
    <t>GOP Now Cast</t>
  </si>
  <si>
    <t>DEM Now Cast</t>
  </si>
  <si>
    <t>P/L</t>
  </si>
  <si>
    <t>FiveThirtyEight</t>
  </si>
  <si>
    <t>PredictIt</t>
  </si>
  <si>
    <t>Profit on $100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</si>
</sst>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8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1" fillId="0" borderId="1" xfId="0" applyFont="1" applyFill="1" applyBorder="1"/>
    <xf numFmtId="0" fontId="1" fillId="0" borderId="1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wrapText="1"/>
    </xf>
    <xf numFmtId="164" fontId="1" fillId="0" borderId="0" xfId="0" applyNumberFormat="1" applyFont="1" applyFill="1" applyBorder="1"/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3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876300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9"/>
  <sheetViews>
    <sheetView tabSelected="1" zoomScaleNormal="100" workbookViewId="0">
      <selection activeCell="O7" sqref="O7"/>
    </sheetView>
  </sheetViews>
  <sheetFormatPr defaultRowHeight="12.75" customHeight="1" x14ac:dyDescent="0.25"/>
  <cols>
    <col min="1" max="1" width="13.5703125" style="1" customWidth="1"/>
    <col min="2" max="2" width="14" style="1" bestFit="1" customWidth="1"/>
    <col min="3" max="3" width="14.42578125" style="1" bestFit="1" customWidth="1"/>
    <col min="4" max="5" width="13.85546875" style="1" bestFit="1" customWidth="1"/>
    <col min="6" max="6" width="14.28515625" style="1" bestFit="1" customWidth="1"/>
    <col min="7" max="7" width="13.7109375" style="1" bestFit="1" customWidth="1"/>
    <col min="8" max="8" width="8.42578125" style="1" bestFit="1" customWidth="1"/>
    <col min="9" max="10" width="8.28515625" style="1" bestFit="1" customWidth="1"/>
    <col min="11" max="11" width="8.140625" style="1" bestFit="1" customWidth="1"/>
    <col min="12" max="12" width="13.28515625" style="7" bestFit="1" customWidth="1"/>
    <col min="13" max="16384" width="9.140625" style="1"/>
  </cols>
  <sheetData>
    <row r="1" spans="1:12" ht="29.25" customHeight="1" x14ac:dyDescent="0.25">
      <c r="A1" s="4"/>
      <c r="B1" s="12" t="s">
        <v>62</v>
      </c>
      <c r="C1" s="12"/>
      <c r="D1" s="12"/>
      <c r="E1" s="12"/>
      <c r="F1" s="12"/>
      <c r="G1" s="12"/>
      <c r="H1" s="12" t="s">
        <v>63</v>
      </c>
      <c r="I1" s="12"/>
      <c r="J1" s="12"/>
      <c r="K1" s="12"/>
      <c r="L1" s="11" t="s">
        <v>61</v>
      </c>
    </row>
    <row r="2" spans="1:12" s="10" customFormat="1" ht="12.75" customHeight="1" x14ac:dyDescent="0.25">
      <c r="A2" s="9" t="s">
        <v>50</v>
      </c>
      <c r="B2" s="9" t="s">
        <v>55</v>
      </c>
      <c r="C2" s="9" t="s">
        <v>56</v>
      </c>
      <c r="D2" s="9" t="s">
        <v>60</v>
      </c>
      <c r="E2" s="9" t="s">
        <v>57</v>
      </c>
      <c r="F2" s="9" t="s">
        <v>58</v>
      </c>
      <c r="G2" s="9" t="s">
        <v>59</v>
      </c>
      <c r="H2" s="9" t="s">
        <v>51</v>
      </c>
      <c r="I2" s="9" t="s">
        <v>52</v>
      </c>
      <c r="J2" s="9" t="s">
        <v>53</v>
      </c>
      <c r="K2" s="9" t="s">
        <v>54</v>
      </c>
      <c r="L2" s="8" t="s">
        <v>64</v>
      </c>
    </row>
    <row r="3" spans="1:12" ht="12.75" customHeight="1" x14ac:dyDescent="0.25">
      <c r="A3" s="5" t="s">
        <v>29</v>
      </c>
      <c r="B3" s="5">
        <v>64.400000000000006</v>
      </c>
      <c r="C3" s="5">
        <v>73.555000000000007</v>
      </c>
      <c r="D3" s="5">
        <v>76.825000000000003</v>
      </c>
      <c r="E3" s="4">
        <v>35.56</v>
      </c>
      <c r="F3" s="4">
        <v>26.39</v>
      </c>
      <c r="G3" s="4">
        <v>23.15</v>
      </c>
      <c r="H3" s="4">
        <v>77</v>
      </c>
      <c r="I3" s="4">
        <v>24</v>
      </c>
      <c r="J3" s="4">
        <v>24</v>
      </c>
      <c r="K3" s="4">
        <v>78</v>
      </c>
      <c r="L3" s="13">
        <f>0.9*IF(ISBLANK(H3),0,MAX(ABS(B3-H3),ABS(B3-K3),ABS(E3-I3),ABS(E3-J3)))</f>
        <v>12.239999999999995</v>
      </c>
    </row>
    <row r="4" spans="1:12" ht="12.75" customHeight="1" x14ac:dyDescent="0.25">
      <c r="A4" s="5" t="s">
        <v>43</v>
      </c>
      <c r="B4" s="5">
        <v>2.48999999999999</v>
      </c>
      <c r="C4" s="5">
        <v>9.4849999999999994</v>
      </c>
      <c r="D4" s="5">
        <v>3.01</v>
      </c>
      <c r="E4" s="4">
        <v>97.399999999999906</v>
      </c>
      <c r="F4" s="4">
        <v>90.174999999999997</v>
      </c>
      <c r="G4" s="4">
        <v>96.795000000000002</v>
      </c>
      <c r="H4" s="4">
        <v>16</v>
      </c>
      <c r="I4" s="4">
        <v>86</v>
      </c>
      <c r="J4" s="4">
        <v>85</v>
      </c>
      <c r="K4" s="4">
        <v>16</v>
      </c>
      <c r="L4" s="13">
        <f t="shared" ref="L4:L52" si="0">0.9*IF(ISBLANK(H4),0,MAX(ABS(B4-H4),ABS(B4-K4),ABS(E4-I4),ABS(E4-J4)))</f>
        <v>12.15900000000001</v>
      </c>
    </row>
    <row r="5" spans="1:12" ht="12.75" customHeight="1" x14ac:dyDescent="0.25">
      <c r="A5" s="5" t="s">
        <v>16</v>
      </c>
      <c r="B5" s="5">
        <v>53.669999999999902</v>
      </c>
      <c r="C5" s="5">
        <v>64.454999999999998</v>
      </c>
      <c r="D5" s="5">
        <v>55.47</v>
      </c>
      <c r="E5" s="4">
        <v>46.3</v>
      </c>
      <c r="F5" s="4">
        <v>35.484999999999999</v>
      </c>
      <c r="G5" s="4">
        <v>44.5</v>
      </c>
      <c r="H5" s="4">
        <v>67</v>
      </c>
      <c r="I5" s="4">
        <v>34</v>
      </c>
      <c r="J5" s="4">
        <v>35</v>
      </c>
      <c r="K5" s="4">
        <v>67</v>
      </c>
      <c r="L5" s="13">
        <f t="shared" si="0"/>
        <v>11.997000000000089</v>
      </c>
    </row>
    <row r="6" spans="1:12" ht="12.75" customHeight="1" x14ac:dyDescent="0.25">
      <c r="A6" s="5" t="s">
        <v>15</v>
      </c>
      <c r="B6" s="5">
        <v>5.12</v>
      </c>
      <c r="C6" s="5">
        <v>11.11</v>
      </c>
      <c r="D6" s="5">
        <v>3.6549999999999998</v>
      </c>
      <c r="E6" s="4">
        <v>94.82</v>
      </c>
      <c r="F6" s="4">
        <v>88.765000000000001</v>
      </c>
      <c r="G6" s="4">
        <v>96.265000000000001</v>
      </c>
      <c r="H6" s="4">
        <v>17</v>
      </c>
      <c r="I6" s="4">
        <v>84</v>
      </c>
      <c r="J6" s="4">
        <v>84</v>
      </c>
      <c r="K6" s="4">
        <v>18</v>
      </c>
      <c r="L6" s="13">
        <f t="shared" si="0"/>
        <v>11.591999999999999</v>
      </c>
    </row>
    <row r="7" spans="1:12" ht="12.75" customHeight="1" x14ac:dyDescent="0.25">
      <c r="A7" s="5" t="s">
        <v>32</v>
      </c>
      <c r="B7" s="5">
        <v>49.89</v>
      </c>
      <c r="C7" s="5">
        <v>63.884999999999998</v>
      </c>
      <c r="D7" s="5">
        <v>60.64</v>
      </c>
      <c r="E7" s="4">
        <v>50.094999999999999</v>
      </c>
      <c r="F7" s="4">
        <v>36.085000000000001</v>
      </c>
      <c r="G7" s="4">
        <v>39.340000000000003</v>
      </c>
      <c r="H7" s="4">
        <v>62</v>
      </c>
      <c r="I7" s="4">
        <v>39</v>
      </c>
      <c r="J7" s="4">
        <v>41</v>
      </c>
      <c r="K7" s="4">
        <v>61</v>
      </c>
      <c r="L7" s="13">
        <f t="shared" si="0"/>
        <v>10.898999999999999</v>
      </c>
    </row>
    <row r="8" spans="1:12" ht="12.75" customHeight="1" x14ac:dyDescent="0.25">
      <c r="A8" s="5" t="s">
        <v>11</v>
      </c>
      <c r="B8" s="5">
        <v>24.965</v>
      </c>
      <c r="C8" s="5">
        <v>43.034999999999997</v>
      </c>
      <c r="D8" s="5">
        <v>37.380000000000003</v>
      </c>
      <c r="E8" s="4">
        <v>75.015000000000001</v>
      </c>
      <c r="F8" s="4">
        <v>56.935000000000002</v>
      </c>
      <c r="G8" s="4">
        <v>62.61</v>
      </c>
      <c r="H8" s="4">
        <v>37</v>
      </c>
      <c r="I8" s="4">
        <v>65</v>
      </c>
      <c r="J8" s="4">
        <v>66</v>
      </c>
      <c r="K8" s="4">
        <v>35</v>
      </c>
      <c r="L8" s="13">
        <f t="shared" si="0"/>
        <v>10.8315</v>
      </c>
    </row>
    <row r="9" spans="1:12" ht="12.75" customHeight="1" x14ac:dyDescent="0.25">
      <c r="A9" s="5" t="s">
        <v>23</v>
      </c>
      <c r="B9" s="5">
        <v>79.174999999999997</v>
      </c>
      <c r="C9" s="5">
        <v>83.935000000000002</v>
      </c>
      <c r="D9" s="5">
        <v>85.729999999999905</v>
      </c>
      <c r="E9" s="4">
        <v>20.754999999999999</v>
      </c>
      <c r="F9" s="4">
        <v>15.86</v>
      </c>
      <c r="G9" s="4">
        <v>14.164999999999999</v>
      </c>
      <c r="H9" s="4">
        <v>90</v>
      </c>
      <c r="I9" s="4">
        <v>12</v>
      </c>
      <c r="J9" s="4">
        <v>12</v>
      </c>
      <c r="K9" s="4">
        <v>89</v>
      </c>
      <c r="L9" s="13">
        <f t="shared" si="0"/>
        <v>9.7425000000000033</v>
      </c>
    </row>
    <row r="10" spans="1:12" ht="12.75" customHeight="1" x14ac:dyDescent="0.25">
      <c r="A10" s="5" t="s">
        <v>25</v>
      </c>
      <c r="B10" s="5">
        <v>23.704999999999998</v>
      </c>
      <c r="C10" s="5">
        <v>35.49</v>
      </c>
      <c r="D10" s="5">
        <v>28.62</v>
      </c>
      <c r="E10" s="4">
        <v>76.265000000000001</v>
      </c>
      <c r="F10" s="4">
        <v>64.435000000000002</v>
      </c>
      <c r="G10" s="4">
        <v>71.349999999999994</v>
      </c>
      <c r="H10" s="4">
        <v>34</v>
      </c>
      <c r="I10" s="4">
        <v>69</v>
      </c>
      <c r="J10" s="4">
        <v>72</v>
      </c>
      <c r="K10" s="4">
        <v>32</v>
      </c>
      <c r="L10" s="13">
        <f t="shared" si="0"/>
        <v>9.2655000000000012</v>
      </c>
    </row>
    <row r="11" spans="1:12" ht="12.75" customHeight="1" x14ac:dyDescent="0.25">
      <c r="A11" s="5" t="s">
        <v>17</v>
      </c>
      <c r="B11" s="5">
        <v>4.8599999999999897</v>
      </c>
      <c r="C11" s="5">
        <v>12.91</v>
      </c>
      <c r="D11" s="5">
        <v>8.0549999999999997</v>
      </c>
      <c r="E11" s="4">
        <v>95.09</v>
      </c>
      <c r="F11" s="4">
        <v>86.995000000000005</v>
      </c>
      <c r="G11" s="4">
        <v>91.894999999999996</v>
      </c>
      <c r="H11" s="4">
        <v>15</v>
      </c>
      <c r="I11" s="4">
        <v>87</v>
      </c>
      <c r="J11" s="4">
        <v>87</v>
      </c>
      <c r="K11" s="4">
        <v>15</v>
      </c>
      <c r="L11" s="13">
        <f t="shared" si="0"/>
        <v>9.1260000000000101</v>
      </c>
    </row>
    <row r="12" spans="1:12" ht="12.75" customHeight="1" x14ac:dyDescent="0.25">
      <c r="A12" s="5" t="s">
        <v>4</v>
      </c>
      <c r="B12" s="5">
        <v>24.285</v>
      </c>
      <c r="C12" s="5">
        <v>39.19</v>
      </c>
      <c r="D12" s="5">
        <v>27.45</v>
      </c>
      <c r="E12" s="4">
        <v>75.685000000000002</v>
      </c>
      <c r="F12" s="4">
        <v>60.755000000000003</v>
      </c>
      <c r="G12" s="4">
        <v>72.509999999999906</v>
      </c>
      <c r="H12" s="4">
        <v>34</v>
      </c>
      <c r="I12" s="4">
        <v>68</v>
      </c>
      <c r="J12" s="4">
        <v>69</v>
      </c>
      <c r="K12" s="4">
        <v>33</v>
      </c>
      <c r="L12" s="13">
        <f t="shared" si="0"/>
        <v>8.7435000000000009</v>
      </c>
    </row>
    <row r="13" spans="1:12" ht="12.75" customHeight="1" x14ac:dyDescent="0.25">
      <c r="A13" s="5" t="s">
        <v>34</v>
      </c>
      <c r="B13" s="5">
        <v>61.585000000000001</v>
      </c>
      <c r="C13" s="5">
        <v>71.56</v>
      </c>
      <c r="D13" s="5">
        <v>72.944999999999993</v>
      </c>
      <c r="E13" s="4">
        <v>38.384999999999998</v>
      </c>
      <c r="F13" s="4">
        <v>28.38</v>
      </c>
      <c r="G13" s="4">
        <v>27.024999999999999</v>
      </c>
      <c r="H13" s="4">
        <v>70</v>
      </c>
      <c r="I13" s="4">
        <v>31</v>
      </c>
      <c r="J13" s="4">
        <v>32</v>
      </c>
      <c r="K13" s="4">
        <v>70</v>
      </c>
      <c r="L13" s="13">
        <f t="shared" si="0"/>
        <v>7.5734999999999992</v>
      </c>
    </row>
    <row r="14" spans="1:12" ht="12.75" customHeight="1" x14ac:dyDescent="0.25">
      <c r="A14" s="5" t="s">
        <v>37</v>
      </c>
      <c r="B14" s="5">
        <v>72.644999999999996</v>
      </c>
      <c r="C14" s="5">
        <v>79.704999999999998</v>
      </c>
      <c r="D14" s="5">
        <v>81.739999999999995</v>
      </c>
      <c r="E14" s="4">
        <v>27.334999999999901</v>
      </c>
      <c r="F14" s="4">
        <v>20.254999999999999</v>
      </c>
      <c r="G14" s="4">
        <v>18.234999999999999</v>
      </c>
      <c r="H14" s="4">
        <v>81</v>
      </c>
      <c r="I14" s="4">
        <v>21</v>
      </c>
      <c r="J14" s="4">
        <v>20</v>
      </c>
      <c r="K14" s="4">
        <v>81</v>
      </c>
      <c r="L14" s="13">
        <f t="shared" si="0"/>
        <v>7.5195000000000034</v>
      </c>
    </row>
    <row r="15" spans="1:12" ht="12.75" customHeight="1" x14ac:dyDescent="0.25">
      <c r="A15" s="5" t="s">
        <v>26</v>
      </c>
      <c r="B15" s="5">
        <v>23.794999999999899</v>
      </c>
      <c r="C15" s="5">
        <v>34.685000000000002</v>
      </c>
      <c r="D15" s="5">
        <v>25.79</v>
      </c>
      <c r="E15" s="4">
        <v>75.754999999999995</v>
      </c>
      <c r="F15" s="4">
        <v>64.08</v>
      </c>
      <c r="G15" s="4">
        <v>72.64</v>
      </c>
      <c r="H15" s="4">
        <v>18</v>
      </c>
      <c r="I15" s="4">
        <v>84</v>
      </c>
      <c r="J15" s="4">
        <v>84</v>
      </c>
      <c r="K15" s="4">
        <v>18</v>
      </c>
      <c r="L15" s="13">
        <f t="shared" si="0"/>
        <v>7.4205000000000041</v>
      </c>
    </row>
    <row r="16" spans="1:12" ht="12.75" customHeight="1" x14ac:dyDescent="0.25">
      <c r="A16" s="5" t="s">
        <v>10</v>
      </c>
      <c r="B16" s="5">
        <v>61.16</v>
      </c>
      <c r="C16" s="5">
        <v>72.534999999999997</v>
      </c>
      <c r="D16" s="5">
        <v>72.650000000000006</v>
      </c>
      <c r="E16" s="4">
        <v>38.824999999999903</v>
      </c>
      <c r="F16" s="4">
        <v>27.434999999999999</v>
      </c>
      <c r="G16" s="4">
        <v>27.334999999999901</v>
      </c>
      <c r="H16" s="4">
        <v>69</v>
      </c>
      <c r="I16" s="4">
        <v>32</v>
      </c>
      <c r="J16" s="4">
        <v>35</v>
      </c>
      <c r="K16" s="4">
        <v>66</v>
      </c>
      <c r="L16" s="13">
        <f t="shared" si="0"/>
        <v>7.0560000000000036</v>
      </c>
    </row>
    <row r="17" spans="1:12" ht="12.75" customHeight="1" x14ac:dyDescent="0.25">
      <c r="A17" s="5" t="s">
        <v>13</v>
      </c>
      <c r="B17" s="5">
        <v>1.18</v>
      </c>
      <c r="C17" s="5">
        <v>3.42</v>
      </c>
      <c r="D17" s="5">
        <v>1.615</v>
      </c>
      <c r="E17" s="4">
        <v>98.79</v>
      </c>
      <c r="F17" s="4">
        <v>96.52</v>
      </c>
      <c r="G17" s="4">
        <v>98.355000000000004</v>
      </c>
      <c r="H17" s="4">
        <v>8</v>
      </c>
      <c r="I17" s="4">
        <v>94</v>
      </c>
      <c r="J17" s="4">
        <v>94</v>
      </c>
      <c r="K17" s="4">
        <v>9</v>
      </c>
      <c r="L17" s="13">
        <f t="shared" si="0"/>
        <v>7.0380000000000003</v>
      </c>
    </row>
    <row r="18" spans="1:12" ht="12.75" customHeight="1" x14ac:dyDescent="0.25">
      <c r="A18" s="5" t="s">
        <v>7</v>
      </c>
      <c r="B18" s="5">
        <v>79.19</v>
      </c>
      <c r="C18" s="5">
        <v>85.555000000000007</v>
      </c>
      <c r="D18" s="5">
        <v>87.77</v>
      </c>
      <c r="E18" s="4">
        <v>20.73</v>
      </c>
      <c r="F18" s="4">
        <v>14.285</v>
      </c>
      <c r="G18" s="4">
        <v>12.1</v>
      </c>
      <c r="H18" s="4">
        <v>87</v>
      </c>
      <c r="I18" s="4">
        <v>15</v>
      </c>
      <c r="J18" s="4">
        <v>15</v>
      </c>
      <c r="K18" s="4">
        <v>87</v>
      </c>
      <c r="L18" s="13">
        <f t="shared" si="0"/>
        <v>7.0290000000000026</v>
      </c>
    </row>
    <row r="19" spans="1:12" ht="12.75" customHeight="1" x14ac:dyDescent="0.25">
      <c r="A19" s="5" t="s">
        <v>35</v>
      </c>
      <c r="B19" s="5">
        <v>0.19499999999999901</v>
      </c>
      <c r="C19" s="5">
        <v>0.77500000000000002</v>
      </c>
      <c r="D19" s="5">
        <v>0.21</v>
      </c>
      <c r="E19" s="4">
        <v>99.79</v>
      </c>
      <c r="F19" s="4">
        <v>99.204999999999998</v>
      </c>
      <c r="G19" s="4">
        <v>99.78</v>
      </c>
      <c r="H19" s="4">
        <v>8</v>
      </c>
      <c r="I19" s="4">
        <v>93</v>
      </c>
      <c r="J19" s="4">
        <v>94</v>
      </c>
      <c r="K19" s="4">
        <v>7.0000000000000009</v>
      </c>
      <c r="L19" s="13">
        <f t="shared" si="0"/>
        <v>7.0245000000000006</v>
      </c>
    </row>
    <row r="20" spans="1:12" ht="12.75" customHeight="1" x14ac:dyDescent="0.25">
      <c r="A20" s="5" t="s">
        <v>19</v>
      </c>
      <c r="B20" s="5">
        <v>2.4750000000000001</v>
      </c>
      <c r="C20" s="5">
        <v>7.3949999999999996</v>
      </c>
      <c r="D20" s="5">
        <v>3.5549999999999899</v>
      </c>
      <c r="E20" s="4">
        <v>97.495000000000005</v>
      </c>
      <c r="F20" s="4">
        <v>92.534999999999997</v>
      </c>
      <c r="G20" s="4">
        <v>96.43</v>
      </c>
      <c r="H20" s="4">
        <v>9</v>
      </c>
      <c r="I20" s="4">
        <v>92</v>
      </c>
      <c r="J20" s="4">
        <v>93</v>
      </c>
      <c r="K20" s="4">
        <v>10</v>
      </c>
      <c r="L20" s="13">
        <f t="shared" si="0"/>
        <v>6.7725000000000009</v>
      </c>
    </row>
    <row r="21" spans="1:12" ht="12.75" customHeight="1" x14ac:dyDescent="0.25">
      <c r="A21" s="5" t="s">
        <v>42</v>
      </c>
      <c r="B21" s="5">
        <v>4.67</v>
      </c>
      <c r="C21" s="5">
        <v>12.15</v>
      </c>
      <c r="D21" s="5">
        <v>5.0449999999999999</v>
      </c>
      <c r="E21" s="4">
        <v>95.304999999999893</v>
      </c>
      <c r="F21" s="4">
        <v>87.795000000000002</v>
      </c>
      <c r="G21" s="4">
        <v>94.944999999999993</v>
      </c>
      <c r="H21" s="4">
        <v>12</v>
      </c>
      <c r="I21" s="4">
        <v>90</v>
      </c>
      <c r="J21" s="4">
        <v>90</v>
      </c>
      <c r="K21" s="4">
        <v>12</v>
      </c>
      <c r="L21" s="13">
        <f t="shared" si="0"/>
        <v>6.5970000000000004</v>
      </c>
    </row>
    <row r="22" spans="1:12" ht="12.75" customHeight="1" x14ac:dyDescent="0.25">
      <c r="A22" s="5" t="s">
        <v>33</v>
      </c>
      <c r="B22" s="5">
        <v>12.08</v>
      </c>
      <c r="C22" s="5">
        <v>18.420000000000002</v>
      </c>
      <c r="D22" s="5">
        <v>10.65</v>
      </c>
      <c r="E22" s="4">
        <v>87.78</v>
      </c>
      <c r="F22" s="4">
        <v>81.27</v>
      </c>
      <c r="G22" s="4">
        <v>89.07</v>
      </c>
      <c r="H22" s="4">
        <v>9</v>
      </c>
      <c r="I22" s="4">
        <v>95</v>
      </c>
      <c r="J22" s="4">
        <v>95</v>
      </c>
      <c r="K22" s="4">
        <v>9</v>
      </c>
      <c r="L22" s="13">
        <f t="shared" si="0"/>
        <v>6.4979999999999993</v>
      </c>
    </row>
    <row r="23" spans="1:12" ht="12.75" customHeight="1" x14ac:dyDescent="0.25">
      <c r="A23" s="5" t="s">
        <v>2</v>
      </c>
      <c r="B23" s="5">
        <v>0.79</v>
      </c>
      <c r="C23" s="5">
        <v>2.7949999999999999</v>
      </c>
      <c r="D23" s="5">
        <v>1.635</v>
      </c>
      <c r="E23" s="4">
        <v>99.2</v>
      </c>
      <c r="F23" s="4">
        <v>97.16</v>
      </c>
      <c r="G23" s="4">
        <v>98.324999999999903</v>
      </c>
      <c r="H23" s="4">
        <v>8</v>
      </c>
      <c r="I23" s="4">
        <v>93</v>
      </c>
      <c r="J23" s="4">
        <v>94</v>
      </c>
      <c r="K23" s="4">
        <v>8</v>
      </c>
      <c r="L23" s="13">
        <f t="shared" si="0"/>
        <v>6.4889999999999999</v>
      </c>
    </row>
    <row r="24" spans="1:12" ht="12.75" customHeight="1" x14ac:dyDescent="0.25">
      <c r="A24" s="5" t="s">
        <v>41</v>
      </c>
      <c r="B24" s="5">
        <v>2.96</v>
      </c>
      <c r="C24" s="5">
        <v>8.0049999999999901</v>
      </c>
      <c r="D24" s="5">
        <v>3.2</v>
      </c>
      <c r="E24" s="4">
        <v>97.009999999999906</v>
      </c>
      <c r="F24" s="4">
        <v>91.944999999999993</v>
      </c>
      <c r="G24" s="4">
        <v>96.78</v>
      </c>
      <c r="H24" s="4">
        <v>10</v>
      </c>
      <c r="I24" s="4">
        <v>93</v>
      </c>
      <c r="J24" s="4">
        <v>92</v>
      </c>
      <c r="K24" s="4">
        <v>10</v>
      </c>
      <c r="L24" s="13">
        <f t="shared" si="0"/>
        <v>6.3360000000000003</v>
      </c>
    </row>
    <row r="25" spans="1:12" ht="12.75" customHeight="1" x14ac:dyDescent="0.25">
      <c r="A25" s="5" t="s">
        <v>20</v>
      </c>
      <c r="B25" s="5">
        <v>80.06</v>
      </c>
      <c r="C25" s="5">
        <v>82.54</v>
      </c>
      <c r="D25" s="5">
        <v>78.724999999999994</v>
      </c>
      <c r="E25" s="4">
        <v>19.89</v>
      </c>
      <c r="F25" s="4">
        <v>17.315000000000001</v>
      </c>
      <c r="G25" s="4">
        <v>21.19</v>
      </c>
      <c r="H25" s="4">
        <v>87</v>
      </c>
      <c r="I25" s="4">
        <v>16</v>
      </c>
      <c r="J25" s="4">
        <v>16</v>
      </c>
      <c r="K25" s="4">
        <v>87</v>
      </c>
      <c r="L25" s="13">
        <f t="shared" si="0"/>
        <v>6.2459999999999978</v>
      </c>
    </row>
    <row r="26" spans="1:12" ht="12.75" customHeight="1" x14ac:dyDescent="0.25">
      <c r="A26" s="5" t="s">
        <v>5</v>
      </c>
      <c r="B26" s="5">
        <v>3.25</v>
      </c>
      <c r="C26" s="5">
        <v>10.18</v>
      </c>
      <c r="D26" s="5">
        <v>6.99</v>
      </c>
      <c r="E26" s="4">
        <v>96.714999999999904</v>
      </c>
      <c r="F26" s="4">
        <v>89.68</v>
      </c>
      <c r="G26" s="4">
        <v>92.9</v>
      </c>
      <c r="H26" s="4">
        <v>10</v>
      </c>
      <c r="I26" s="4">
        <v>91</v>
      </c>
      <c r="J26" s="4">
        <v>93</v>
      </c>
      <c r="K26" s="4">
        <v>10</v>
      </c>
      <c r="L26" s="13">
        <f t="shared" si="0"/>
        <v>6.0750000000000002</v>
      </c>
    </row>
    <row r="27" spans="1:12" ht="12.75" customHeight="1" x14ac:dyDescent="0.25">
      <c r="A27" s="5" t="s">
        <v>14</v>
      </c>
      <c r="B27" s="5">
        <v>98.58</v>
      </c>
      <c r="C27" s="5">
        <v>98.594999999999999</v>
      </c>
      <c r="D27" s="5">
        <v>99.605000000000004</v>
      </c>
      <c r="E27" s="4">
        <v>1.4</v>
      </c>
      <c r="F27" s="4">
        <v>1.38</v>
      </c>
      <c r="G27" s="4">
        <v>0.38</v>
      </c>
      <c r="H27" s="4">
        <v>94</v>
      </c>
      <c r="I27" s="4">
        <v>8</v>
      </c>
      <c r="J27" s="4">
        <v>8</v>
      </c>
      <c r="K27" s="4">
        <v>94</v>
      </c>
      <c r="L27" s="13">
        <f t="shared" si="0"/>
        <v>5.9399999999999995</v>
      </c>
    </row>
    <row r="28" spans="1:12" ht="12.75" customHeight="1" x14ac:dyDescent="0.25">
      <c r="A28" s="5" t="s">
        <v>48</v>
      </c>
      <c r="B28" s="5">
        <v>80.69</v>
      </c>
      <c r="C28" s="5">
        <v>84.824999999999903</v>
      </c>
      <c r="D28" s="5">
        <v>76.17</v>
      </c>
      <c r="E28" s="4">
        <v>19.274999999999999</v>
      </c>
      <c r="F28" s="4">
        <v>15.115</v>
      </c>
      <c r="G28" s="4">
        <v>23.805</v>
      </c>
      <c r="H28" s="4">
        <v>87</v>
      </c>
      <c r="I28" s="4">
        <v>15</v>
      </c>
      <c r="J28" s="4">
        <v>15</v>
      </c>
      <c r="K28" s="4">
        <v>87</v>
      </c>
      <c r="L28" s="13">
        <f t="shared" si="0"/>
        <v>5.679000000000002</v>
      </c>
    </row>
    <row r="29" spans="1:12" ht="12.75" customHeight="1" x14ac:dyDescent="0.25">
      <c r="A29" s="5" t="s">
        <v>31</v>
      </c>
      <c r="B29" s="5">
        <v>99.125</v>
      </c>
      <c r="C29" s="5">
        <v>98.96</v>
      </c>
      <c r="D29" s="5">
        <v>99.47</v>
      </c>
      <c r="E29" s="4">
        <v>0.86499999999999999</v>
      </c>
      <c r="F29" s="4">
        <v>1.02</v>
      </c>
      <c r="G29" s="4">
        <v>0.52500000000000002</v>
      </c>
      <c r="H29" s="4">
        <v>94</v>
      </c>
      <c r="I29" s="4">
        <v>7.0000000000000009</v>
      </c>
      <c r="J29" s="4">
        <v>7.0000000000000009</v>
      </c>
      <c r="K29" s="4">
        <v>94</v>
      </c>
      <c r="L29" s="13">
        <f t="shared" si="0"/>
        <v>5.5215000000000005</v>
      </c>
    </row>
    <row r="30" spans="1:12" ht="12.75" customHeight="1" x14ac:dyDescent="0.25">
      <c r="A30" s="5" t="s">
        <v>24</v>
      </c>
      <c r="B30" s="5">
        <v>4.21</v>
      </c>
      <c r="C30" s="5">
        <v>9.7249999999999996</v>
      </c>
      <c r="D30" s="5">
        <v>3.4950000000000001</v>
      </c>
      <c r="E30" s="4">
        <v>95.775000000000006</v>
      </c>
      <c r="F30" s="4">
        <v>90.259999999999906</v>
      </c>
      <c r="G30" s="4">
        <v>96.504999999999995</v>
      </c>
      <c r="H30" s="4">
        <v>8</v>
      </c>
      <c r="I30" s="4">
        <v>93</v>
      </c>
      <c r="J30" s="4">
        <v>93</v>
      </c>
      <c r="K30" s="4">
        <v>10</v>
      </c>
      <c r="L30" s="13">
        <f t="shared" si="0"/>
        <v>5.2110000000000003</v>
      </c>
    </row>
    <row r="31" spans="1:12" ht="12.75" customHeight="1" x14ac:dyDescent="0.25">
      <c r="A31" s="5" t="s">
        <v>6</v>
      </c>
      <c r="B31" s="5">
        <v>99.76</v>
      </c>
      <c r="C31" s="5">
        <v>99.605000000000004</v>
      </c>
      <c r="D31" s="5">
        <v>99.954999999999998</v>
      </c>
      <c r="E31" s="4">
        <v>0.22999999999999901</v>
      </c>
      <c r="F31" s="4">
        <v>0.375</v>
      </c>
      <c r="G31" s="4">
        <v>0.03</v>
      </c>
      <c r="H31" s="4">
        <v>96</v>
      </c>
      <c r="I31" s="4">
        <v>6</v>
      </c>
      <c r="J31" s="4">
        <v>6</v>
      </c>
      <c r="K31" s="4">
        <v>95</v>
      </c>
      <c r="L31" s="13">
        <f t="shared" si="0"/>
        <v>5.1930000000000014</v>
      </c>
    </row>
    <row r="32" spans="1:12" ht="12.75" customHeight="1" x14ac:dyDescent="0.25">
      <c r="A32" s="5" t="s">
        <v>39</v>
      </c>
      <c r="B32" s="5">
        <v>19.41</v>
      </c>
      <c r="C32" s="5">
        <v>36.164999999999999</v>
      </c>
      <c r="D32" s="5">
        <v>31.81</v>
      </c>
      <c r="E32" s="4">
        <v>80.569999999999993</v>
      </c>
      <c r="F32" s="4">
        <v>63.814999999999998</v>
      </c>
      <c r="G32" s="4">
        <v>68.185000000000002</v>
      </c>
      <c r="H32" s="4">
        <v>25</v>
      </c>
      <c r="I32" s="4">
        <v>78</v>
      </c>
      <c r="J32" s="4">
        <v>80</v>
      </c>
      <c r="K32" s="4">
        <v>25</v>
      </c>
      <c r="L32" s="13">
        <f t="shared" si="0"/>
        <v>5.0309999999999997</v>
      </c>
    </row>
    <row r="33" spans="1:12" ht="12.75" customHeight="1" x14ac:dyDescent="0.25">
      <c r="A33" s="5" t="s">
        <v>18</v>
      </c>
      <c r="B33" s="5">
        <v>4.4649999999999999</v>
      </c>
      <c r="C33" s="5">
        <v>13.395</v>
      </c>
      <c r="D33" s="5">
        <v>7.4649999999999999</v>
      </c>
      <c r="E33" s="4">
        <v>95.52</v>
      </c>
      <c r="F33" s="4">
        <v>86.58</v>
      </c>
      <c r="G33" s="4">
        <v>92.534999999999997</v>
      </c>
      <c r="H33" s="4">
        <v>10</v>
      </c>
      <c r="I33" s="4">
        <v>92</v>
      </c>
      <c r="J33" s="4">
        <v>93</v>
      </c>
      <c r="K33" s="4">
        <v>10</v>
      </c>
      <c r="L33" s="13">
        <f t="shared" si="0"/>
        <v>4.9815000000000005</v>
      </c>
    </row>
    <row r="34" spans="1:12" ht="12.75" customHeight="1" x14ac:dyDescent="0.25">
      <c r="A34" s="5" t="s">
        <v>46</v>
      </c>
      <c r="B34" s="5">
        <v>96.234999999999999</v>
      </c>
      <c r="C34" s="5">
        <v>96.67</v>
      </c>
      <c r="D34" s="5">
        <v>98.27</v>
      </c>
      <c r="E34" s="4">
        <v>3.71</v>
      </c>
      <c r="F34" s="4">
        <v>3.1850000000000001</v>
      </c>
      <c r="G34" s="4">
        <v>1.615</v>
      </c>
      <c r="H34" s="4">
        <v>93</v>
      </c>
      <c r="I34" s="4">
        <v>8</v>
      </c>
      <c r="J34" s="4">
        <v>9</v>
      </c>
      <c r="K34" s="4">
        <v>92</v>
      </c>
      <c r="L34" s="13">
        <f t="shared" si="0"/>
        <v>4.7610000000000001</v>
      </c>
    </row>
    <row r="35" spans="1:12" ht="12.75" customHeight="1" x14ac:dyDescent="0.25">
      <c r="A35" s="5" t="s">
        <v>22</v>
      </c>
      <c r="B35" s="5">
        <v>97.98</v>
      </c>
      <c r="C35" s="5">
        <v>97.72</v>
      </c>
      <c r="D35" s="5">
        <v>97.614999999999995</v>
      </c>
      <c r="E35" s="4">
        <v>1.9949999999999899</v>
      </c>
      <c r="F35" s="4">
        <v>2.2599999999999998</v>
      </c>
      <c r="G35" s="4">
        <v>2.355</v>
      </c>
      <c r="H35" s="4">
        <v>96</v>
      </c>
      <c r="I35" s="4">
        <v>5</v>
      </c>
      <c r="J35" s="4">
        <v>7.0000000000000009</v>
      </c>
      <c r="K35" s="4">
        <v>94</v>
      </c>
      <c r="L35" s="13">
        <f t="shared" si="0"/>
        <v>4.5045000000000108</v>
      </c>
    </row>
    <row r="36" spans="1:12" ht="12.75" customHeight="1" x14ac:dyDescent="0.25">
      <c r="A36" s="5" t="s">
        <v>12</v>
      </c>
      <c r="B36" s="5">
        <v>99.839999999999904</v>
      </c>
      <c r="C36" s="5">
        <v>99.694999999999993</v>
      </c>
      <c r="D36" s="5">
        <v>99.88</v>
      </c>
      <c r="E36" s="4">
        <v>0.14499999999999999</v>
      </c>
      <c r="F36" s="4">
        <v>0.26</v>
      </c>
      <c r="G36" s="4">
        <v>0.1</v>
      </c>
      <c r="H36" s="4">
        <v>96</v>
      </c>
      <c r="I36" s="4">
        <v>5</v>
      </c>
      <c r="J36" s="4">
        <v>5</v>
      </c>
      <c r="K36" s="4">
        <v>97</v>
      </c>
      <c r="L36" s="13">
        <f t="shared" si="0"/>
        <v>4.3695000000000004</v>
      </c>
    </row>
    <row r="37" spans="1:12" ht="12.75" customHeight="1" x14ac:dyDescent="0.25">
      <c r="A37" s="5" t="s">
        <v>21</v>
      </c>
      <c r="B37" s="5">
        <v>99.715000000000003</v>
      </c>
      <c r="C37" s="5">
        <v>99.69</v>
      </c>
      <c r="D37" s="5">
        <v>99.655000000000001</v>
      </c>
      <c r="E37" s="4">
        <v>0.26500000000000001</v>
      </c>
      <c r="F37" s="4">
        <v>0.26500000000000001</v>
      </c>
      <c r="G37" s="4">
        <v>0.30499999999999999</v>
      </c>
      <c r="H37" s="4">
        <v>96</v>
      </c>
      <c r="I37" s="4">
        <v>5</v>
      </c>
      <c r="J37" s="4">
        <v>5</v>
      </c>
      <c r="K37" s="4">
        <v>96</v>
      </c>
      <c r="L37" s="13">
        <f t="shared" si="0"/>
        <v>4.2615000000000007</v>
      </c>
    </row>
    <row r="38" spans="1:12" ht="12.75" customHeight="1" x14ac:dyDescent="0.25">
      <c r="A38" s="5" t="s">
        <v>9</v>
      </c>
      <c r="B38" s="5">
        <v>92.694999999999993</v>
      </c>
      <c r="C38" s="5">
        <v>92.295000000000002</v>
      </c>
      <c r="D38" s="5">
        <v>92.89</v>
      </c>
      <c r="E38" s="4">
        <v>7.2450000000000001</v>
      </c>
      <c r="F38" s="4">
        <v>7.62</v>
      </c>
      <c r="G38" s="4">
        <v>7.0499999999999901</v>
      </c>
      <c r="H38" s="4">
        <v>97</v>
      </c>
      <c r="I38" s="4">
        <v>8</v>
      </c>
      <c r="J38" s="4">
        <v>8</v>
      </c>
      <c r="K38" s="4">
        <v>95</v>
      </c>
      <c r="L38" s="13">
        <f t="shared" si="0"/>
        <v>3.8745000000000061</v>
      </c>
    </row>
    <row r="39" spans="1:12" ht="12.75" customHeight="1" x14ac:dyDescent="0.25">
      <c r="A39" s="5" t="s">
        <v>30</v>
      </c>
      <c r="B39" s="5">
        <v>87.29</v>
      </c>
      <c r="C39" s="5">
        <v>88.74</v>
      </c>
      <c r="D39" s="5">
        <v>90.765000000000001</v>
      </c>
      <c r="E39" s="4">
        <v>12.36</v>
      </c>
      <c r="F39" s="4">
        <v>10.18</v>
      </c>
      <c r="G39" s="4">
        <v>8.2449999999999992</v>
      </c>
      <c r="H39" s="4">
        <v>91</v>
      </c>
      <c r="I39" s="4">
        <v>13</v>
      </c>
      <c r="J39" s="4">
        <v>13</v>
      </c>
      <c r="K39" s="4">
        <v>90</v>
      </c>
      <c r="L39" s="13">
        <f t="shared" si="0"/>
        <v>3.3389999999999946</v>
      </c>
    </row>
    <row r="40" spans="1:12" ht="12.75" customHeight="1" x14ac:dyDescent="0.25">
      <c r="A40" s="5" t="s">
        <v>40</v>
      </c>
      <c r="B40" s="5">
        <v>12.385</v>
      </c>
      <c r="C40" s="5">
        <v>18.22</v>
      </c>
      <c r="D40" s="5">
        <v>10.605</v>
      </c>
      <c r="E40" s="4">
        <v>87.49</v>
      </c>
      <c r="F40" s="4">
        <v>81.474999999999994</v>
      </c>
      <c r="G40" s="4">
        <v>89.19</v>
      </c>
      <c r="H40" s="4">
        <v>16</v>
      </c>
      <c r="I40" s="4">
        <v>88</v>
      </c>
      <c r="J40" s="4">
        <v>90</v>
      </c>
      <c r="K40" s="4">
        <v>15</v>
      </c>
      <c r="L40" s="13">
        <f t="shared" si="0"/>
        <v>3.2535000000000003</v>
      </c>
    </row>
    <row r="41" spans="1:12" ht="12.75" customHeight="1" x14ac:dyDescent="0.25">
      <c r="A41" s="5" t="s">
        <v>8</v>
      </c>
      <c r="B41" s="5">
        <v>91.375</v>
      </c>
      <c r="C41" s="5">
        <v>91.679999999999893</v>
      </c>
      <c r="D41" s="5">
        <v>93.4</v>
      </c>
      <c r="E41" s="4">
        <v>8.6050000000000004</v>
      </c>
      <c r="F41" s="4">
        <v>8.2899999999999991</v>
      </c>
      <c r="G41" s="4">
        <v>6.56</v>
      </c>
      <c r="H41" s="4">
        <v>90</v>
      </c>
      <c r="I41" s="4">
        <v>12</v>
      </c>
      <c r="J41" s="4">
        <v>12</v>
      </c>
      <c r="K41" s="4">
        <v>90</v>
      </c>
      <c r="L41" s="13">
        <f t="shared" si="0"/>
        <v>3.0554999999999999</v>
      </c>
    </row>
    <row r="42" spans="1:12" ht="12.75" customHeight="1" x14ac:dyDescent="0.25">
      <c r="A42" s="5" t="s">
        <v>47</v>
      </c>
      <c r="B42" s="5">
        <v>2.645</v>
      </c>
      <c r="C42" s="5">
        <v>5.5750000000000002</v>
      </c>
      <c r="D42" s="5">
        <v>7.95</v>
      </c>
      <c r="E42" s="4">
        <v>97.3</v>
      </c>
      <c r="F42" s="4">
        <v>94.3</v>
      </c>
      <c r="G42" s="4">
        <v>91.99</v>
      </c>
      <c r="H42" s="4">
        <v>6</v>
      </c>
      <c r="I42" s="4">
        <v>95</v>
      </c>
      <c r="J42" s="4">
        <v>97</v>
      </c>
      <c r="K42" s="4">
        <v>5</v>
      </c>
      <c r="L42" s="13">
        <f t="shared" si="0"/>
        <v>3.0194999999999999</v>
      </c>
    </row>
    <row r="43" spans="1:12" ht="12.75" customHeight="1" x14ac:dyDescent="0.25">
      <c r="A43" s="5" t="s">
        <v>1</v>
      </c>
      <c r="B43" s="5">
        <v>93.12</v>
      </c>
      <c r="C43" s="5">
        <v>94.17</v>
      </c>
      <c r="D43" s="5">
        <v>96.04</v>
      </c>
      <c r="E43" s="4">
        <v>6.87</v>
      </c>
      <c r="F43" s="4">
        <v>5.8</v>
      </c>
      <c r="G43" s="4">
        <v>3.94</v>
      </c>
      <c r="H43" s="4">
        <v>92</v>
      </c>
      <c r="I43" s="4">
        <v>10</v>
      </c>
      <c r="J43" s="4">
        <v>10</v>
      </c>
      <c r="K43" s="4">
        <v>92</v>
      </c>
      <c r="L43" s="13">
        <f t="shared" si="0"/>
        <v>2.8170000000000002</v>
      </c>
    </row>
    <row r="44" spans="1:12" ht="12.75" customHeight="1" x14ac:dyDescent="0.25">
      <c r="A44" s="5" t="s">
        <v>45</v>
      </c>
      <c r="B44" s="5">
        <v>85.194999999999993</v>
      </c>
      <c r="C44" s="5">
        <v>87.724999999999994</v>
      </c>
      <c r="D44" s="5">
        <v>91.8</v>
      </c>
      <c r="E44" s="4">
        <v>14.774999999999901</v>
      </c>
      <c r="F44" s="4">
        <v>12.225</v>
      </c>
      <c r="G44" s="4">
        <v>8.1750000000000007</v>
      </c>
      <c r="H44" s="4">
        <v>88</v>
      </c>
      <c r="I44" s="4">
        <v>14.000000000000002</v>
      </c>
      <c r="J44" s="4">
        <v>14.000000000000002</v>
      </c>
      <c r="K44" s="4">
        <v>88</v>
      </c>
      <c r="L44" s="13">
        <f t="shared" si="0"/>
        <v>2.5245000000000064</v>
      </c>
    </row>
    <row r="45" spans="1:12" ht="12.75" customHeight="1" x14ac:dyDescent="0.25">
      <c r="A45" s="5" t="s">
        <v>28</v>
      </c>
      <c r="B45" s="5">
        <v>67.905000000000001</v>
      </c>
      <c r="C45" s="5">
        <v>74.304999999999893</v>
      </c>
      <c r="D45" s="5">
        <v>69.364999999999995</v>
      </c>
      <c r="E45" s="4">
        <v>32.074999999999903</v>
      </c>
      <c r="F45" s="4">
        <v>25.66</v>
      </c>
      <c r="G45" s="4">
        <v>30.625</v>
      </c>
      <c r="H45" s="4">
        <v>70</v>
      </c>
      <c r="I45" s="4">
        <v>33</v>
      </c>
      <c r="J45" s="4">
        <v>33</v>
      </c>
      <c r="K45" s="4">
        <v>68</v>
      </c>
      <c r="L45" s="13">
        <f t="shared" si="0"/>
        <v>1.8854999999999991</v>
      </c>
    </row>
    <row r="46" spans="1:12" ht="12.75" customHeight="1" x14ac:dyDescent="0.25">
      <c r="A46" s="5" t="s">
        <v>27</v>
      </c>
      <c r="B46" s="5">
        <v>7.9799999999999898</v>
      </c>
      <c r="C46" s="5">
        <v>17.309999999999999</v>
      </c>
      <c r="D46" s="5">
        <v>15.115</v>
      </c>
      <c r="E46" s="4">
        <v>91.99</v>
      </c>
      <c r="F46" s="4">
        <v>82.58</v>
      </c>
      <c r="G46" s="4">
        <v>84.824999999999903</v>
      </c>
      <c r="H46" s="4">
        <v>8</v>
      </c>
      <c r="I46" s="4">
        <v>93</v>
      </c>
      <c r="J46" s="4">
        <v>94</v>
      </c>
      <c r="K46" s="4">
        <v>8</v>
      </c>
      <c r="L46" s="13">
        <f t="shared" si="0"/>
        <v>1.8090000000000046</v>
      </c>
    </row>
    <row r="47" spans="1:12" ht="12.75" customHeight="1" x14ac:dyDescent="0.25">
      <c r="A47" s="5" t="s">
        <v>36</v>
      </c>
      <c r="B47" s="5">
        <v>89.61</v>
      </c>
      <c r="C47" s="5">
        <v>91.105000000000004</v>
      </c>
      <c r="D47" s="5">
        <v>90.38</v>
      </c>
      <c r="E47" s="4">
        <v>10.355</v>
      </c>
      <c r="F47" s="4">
        <v>8.8249999999999993</v>
      </c>
      <c r="G47" s="4">
        <v>9.5749999999999993</v>
      </c>
      <c r="H47" s="4">
        <v>89</v>
      </c>
      <c r="I47" s="4">
        <v>12</v>
      </c>
      <c r="J47" s="4">
        <v>12</v>
      </c>
      <c r="K47" s="4">
        <v>89</v>
      </c>
      <c r="L47" s="13">
        <f t="shared" si="0"/>
        <v>1.4804999999999997</v>
      </c>
    </row>
    <row r="48" spans="1:12" ht="12.75" customHeight="1" x14ac:dyDescent="0.25">
      <c r="A48" s="5" t="s">
        <v>38</v>
      </c>
      <c r="B48" s="5">
        <v>95.42</v>
      </c>
      <c r="C48" s="5">
        <v>94.71</v>
      </c>
      <c r="D48" s="5">
        <v>94.12</v>
      </c>
      <c r="E48" s="4">
        <v>4.5350000000000001</v>
      </c>
      <c r="F48" s="4">
        <v>5.13</v>
      </c>
      <c r="G48" s="4">
        <v>5.79</v>
      </c>
      <c r="H48" s="4">
        <v>96</v>
      </c>
      <c r="I48" s="4">
        <v>6</v>
      </c>
      <c r="J48" s="4">
        <v>6</v>
      </c>
      <c r="K48" s="4">
        <v>95</v>
      </c>
      <c r="L48" s="13">
        <f t="shared" si="0"/>
        <v>1.3185</v>
      </c>
    </row>
    <row r="49" spans="1:12" ht="12.75" customHeight="1" x14ac:dyDescent="0.25">
      <c r="A49" s="5" t="s">
        <v>0</v>
      </c>
      <c r="B49" s="5">
        <v>82.39</v>
      </c>
      <c r="C49" s="5">
        <v>85.5</v>
      </c>
      <c r="D49" s="5">
        <v>83.28</v>
      </c>
      <c r="E49" s="4">
        <v>17.59</v>
      </c>
      <c r="F49" s="4">
        <v>14.469999999999899</v>
      </c>
      <c r="G49" s="4">
        <v>16.704999999999998</v>
      </c>
      <c r="H49" s="4">
        <v>83</v>
      </c>
      <c r="I49" s="4">
        <v>18</v>
      </c>
      <c r="J49" s="4">
        <v>19</v>
      </c>
      <c r="K49" s="4">
        <v>82</v>
      </c>
      <c r="L49" s="13">
        <f t="shared" si="0"/>
        <v>1.2690000000000001</v>
      </c>
    </row>
    <row r="50" spans="1:12" ht="12.75" customHeight="1" x14ac:dyDescent="0.25">
      <c r="A50" s="5" t="s">
        <v>3</v>
      </c>
      <c r="B50" s="5">
        <v>12.35</v>
      </c>
      <c r="C50" s="5">
        <v>22.264999999999901</v>
      </c>
      <c r="D50" s="5">
        <v>17.254999999999999</v>
      </c>
      <c r="E50" s="6">
        <v>87.334999999999994</v>
      </c>
      <c r="F50" s="4">
        <v>76.534999999999997</v>
      </c>
      <c r="G50" s="4">
        <v>81.430000000000007</v>
      </c>
      <c r="H50" s="4"/>
      <c r="I50" s="4"/>
      <c r="J50" s="4"/>
      <c r="K50" s="4"/>
      <c r="L50" s="13">
        <f t="shared" si="0"/>
        <v>0</v>
      </c>
    </row>
    <row r="51" spans="1:12" ht="12.75" customHeight="1" x14ac:dyDescent="0.25">
      <c r="A51" s="5" t="s">
        <v>44</v>
      </c>
      <c r="B51" s="5">
        <v>96.41</v>
      </c>
      <c r="C51" s="5">
        <v>95.71</v>
      </c>
      <c r="D51" s="5">
        <v>96.015000000000001</v>
      </c>
      <c r="E51" s="4">
        <v>3.5649999999999999</v>
      </c>
      <c r="F51" s="4">
        <v>4.25</v>
      </c>
      <c r="G51" s="4">
        <v>3.9750000000000001</v>
      </c>
      <c r="H51" s="4"/>
      <c r="I51" s="4"/>
      <c r="J51" s="4"/>
      <c r="K51" s="4"/>
      <c r="L51" s="13">
        <f t="shared" si="0"/>
        <v>0</v>
      </c>
    </row>
    <row r="52" spans="1:12" ht="12.75" customHeight="1" x14ac:dyDescent="0.25">
      <c r="A52" s="5" t="s">
        <v>49</v>
      </c>
      <c r="B52" s="5">
        <v>2.3250000000000002</v>
      </c>
      <c r="C52" s="5">
        <v>4.7249999999999996</v>
      </c>
      <c r="D52" s="5">
        <v>2.86499999999999</v>
      </c>
      <c r="E52" s="4">
        <v>97.49</v>
      </c>
      <c r="F52" s="4">
        <v>94.76</v>
      </c>
      <c r="G52" s="4">
        <v>96.644999999999996</v>
      </c>
      <c r="H52" s="4"/>
      <c r="I52" s="4"/>
      <c r="J52" s="4"/>
      <c r="K52" s="4"/>
      <c r="L52" s="13">
        <f t="shared" si="0"/>
        <v>0</v>
      </c>
    </row>
    <row r="53" spans="1:12" ht="12.75" customHeight="1" x14ac:dyDescent="0.25">
      <c r="A53" s="3"/>
      <c r="B53" s="3"/>
      <c r="C53" s="3"/>
      <c r="D53" s="3"/>
    </row>
    <row r="54" spans="1:12" ht="12.75" customHeight="1" x14ac:dyDescent="0.25">
      <c r="A54" s="2"/>
      <c r="B54" s="2"/>
      <c r="C54" s="2"/>
      <c r="D54" s="2"/>
    </row>
    <row r="55" spans="1:12" ht="12.75" customHeight="1" x14ac:dyDescent="0.25">
      <c r="A55" s="2"/>
      <c r="B55" s="2"/>
      <c r="C55" s="2"/>
      <c r="D55" s="2"/>
    </row>
    <row r="56" spans="1:12" ht="12.75" customHeight="1" x14ac:dyDescent="0.25">
      <c r="A56" s="2"/>
      <c r="B56" s="2"/>
      <c r="C56" s="2"/>
      <c r="D56" s="2"/>
    </row>
    <row r="57" spans="1:12" ht="12.75" customHeight="1" x14ac:dyDescent="0.25">
      <c r="A57" s="2"/>
      <c r="B57" s="2"/>
      <c r="C57" s="2"/>
      <c r="D57" s="2"/>
    </row>
    <row r="58" spans="1:12" ht="12.75" customHeight="1" x14ac:dyDescent="0.25">
      <c r="A58" s="2"/>
      <c r="B58" s="2"/>
      <c r="C58" s="2"/>
      <c r="D58" s="2"/>
    </row>
    <row r="59" spans="1:12" ht="12.75" customHeight="1" x14ac:dyDescent="0.25">
      <c r="A59" s="2"/>
      <c r="B59" s="2"/>
      <c r="C59" s="2"/>
      <c r="D59" s="2"/>
    </row>
    <row r="60" spans="1:12" ht="12.75" customHeight="1" x14ac:dyDescent="0.25">
      <c r="A60" s="2"/>
      <c r="B60" s="2"/>
      <c r="C60" s="2"/>
      <c r="D60" s="2"/>
    </row>
    <row r="61" spans="1:12" ht="12.75" customHeight="1" x14ac:dyDescent="0.25">
      <c r="A61" s="2"/>
      <c r="B61" s="2"/>
      <c r="C61" s="2"/>
      <c r="D61" s="2"/>
    </row>
    <row r="62" spans="1:12" ht="12.75" customHeight="1" x14ac:dyDescent="0.25">
      <c r="A62" s="2"/>
      <c r="B62" s="2"/>
      <c r="C62" s="2"/>
      <c r="D62" s="2"/>
    </row>
    <row r="63" spans="1:12" ht="12.75" customHeight="1" x14ac:dyDescent="0.25">
      <c r="A63" s="3"/>
      <c r="B63" s="3"/>
      <c r="C63" s="3"/>
      <c r="D63" s="3"/>
    </row>
    <row r="64" spans="1:12" ht="12.75" customHeight="1" x14ac:dyDescent="0.25">
      <c r="A64" s="2"/>
      <c r="B64" s="2"/>
      <c r="C64" s="2"/>
      <c r="D64" s="2"/>
    </row>
    <row r="65" spans="1:4" ht="12.75" customHeight="1" x14ac:dyDescent="0.25">
      <c r="A65" s="2"/>
      <c r="B65" s="2"/>
      <c r="C65" s="2"/>
      <c r="D65" s="2"/>
    </row>
    <row r="66" spans="1:4" ht="12.75" customHeight="1" x14ac:dyDescent="0.25">
      <c r="A66" s="2"/>
      <c r="B66" s="2"/>
      <c r="C66" s="2"/>
      <c r="D66" s="2"/>
    </row>
    <row r="67" spans="1:4" ht="12.75" customHeight="1" x14ac:dyDescent="0.25">
      <c r="A67" s="2"/>
      <c r="B67" s="2"/>
      <c r="C67" s="2"/>
      <c r="D67" s="2"/>
    </row>
    <row r="68" spans="1:4" ht="12.75" customHeight="1" x14ac:dyDescent="0.25">
      <c r="A68" s="2"/>
      <c r="B68" s="2"/>
      <c r="C68" s="2"/>
      <c r="D68" s="2"/>
    </row>
    <row r="69" spans="1:4" ht="12.75" customHeight="1" x14ac:dyDescent="0.25">
      <c r="A69" s="2"/>
      <c r="B69" s="2"/>
      <c r="C69" s="2"/>
      <c r="D69" s="2"/>
    </row>
  </sheetData>
  <mergeCells count="2">
    <mergeCell ref="H1:K1"/>
    <mergeCell ref="B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876300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</cp:lastModifiedBy>
  <dcterms:created xsi:type="dcterms:W3CDTF">2016-07-31T15:49:29Z</dcterms:created>
  <dcterms:modified xsi:type="dcterms:W3CDTF">2016-09-17T17:50:00Z</dcterms:modified>
</cp:coreProperties>
</file>